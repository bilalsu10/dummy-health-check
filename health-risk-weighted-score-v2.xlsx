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2" customWidth="1" min="4" max="4"/>
    <col width="16" customWidth="1" min="5" max="5"/>
    <col width="28" customWidth="1" min="7" max="7"/>
    <col width="80" customWidth="1" min="8" max="8"/>
  </cols>
  <sheetData>
    <row r="1">
      <c r="A1" s="1" t="inlineStr">
        <is>
          <t>ปัจจัย</t>
        </is>
      </c>
      <c r="B1" s="1" t="inlineStr">
        <is>
          <t>ผลตรวจ</t>
        </is>
      </c>
      <c r="C1" s="1" t="inlineStr">
        <is>
          <t>คะแนนความรุนแรง</t>
        </is>
      </c>
      <c r="D1" s="1" t="inlineStr">
        <is>
          <t>ค่าน้ำหนัก</t>
        </is>
      </c>
      <c r="E1" s="1" t="inlineStr">
        <is>
          <t>คะแนนถ่วงน้ำหนัก</t>
        </is>
      </c>
      <c r="G1" s="1" t="inlineStr">
        <is>
          <t>รายการสรุป</t>
        </is>
      </c>
      <c r="H1" s="1" t="inlineStr">
        <is>
          <t>ค่า</t>
        </is>
      </c>
    </row>
    <row r="2">
      <c r="A2" s="2" t="inlineStr">
        <is>
          <t>ดัชนีมวลกาย (BMI)</t>
        </is>
      </c>
      <c r="B2" s="2" t="inlineStr">
        <is>
          <t>อ้วน</t>
        </is>
      </c>
      <c r="C2" s="3">
        <f>IF(B2="ปกติ",0,IF(OR(B2="น้ำหนักเกิน",B2="ผอม"),1,IF(B2="อ้วน",2,IF(B2="อ้วนอันตราย",3,0))))</f>
        <v/>
      </c>
      <c r="D2" s="4" t="n">
        <v>1</v>
      </c>
      <c r="E2" s="4">
        <f>C2*D2</f>
        <v/>
      </c>
      <c r="G2" s="2" t="inlineStr">
        <is>
          <t>คะแนนรวมถ่วงน้ำหนัก</t>
        </is>
      </c>
      <c r="H2" s="4">
        <f>SUM(E2:E8)</f>
        <v/>
      </c>
    </row>
    <row r="3">
      <c r="A3" s="2" t="inlineStr">
        <is>
          <t>ความดันโลหิต</t>
        </is>
      </c>
      <c r="B3" s="2" t="inlineStr">
        <is>
          <t>ความดันสูง</t>
        </is>
      </c>
      <c r="C3" s="3">
        <f>IF(B3="ปกติ",0,IF(B3="ความดันต่ำ",1,IF(B3="ความดันสูง",2,0)))</f>
        <v/>
      </c>
      <c r="D3" s="4" t="n">
        <v>1.3</v>
      </c>
      <c r="E3" s="4">
        <f>C3*D3</f>
        <v/>
      </c>
      <c r="G3" s="2" t="inlineStr">
        <is>
          <t>คะแนนความรุนแรงสูงสุด</t>
        </is>
      </c>
      <c r="H3" s="3">
        <f>MAX(C2:C8)</f>
        <v/>
      </c>
    </row>
    <row r="4">
      <c r="A4" s="2" t="inlineStr">
        <is>
          <t>ระดับน้ำตาลในเลือด</t>
        </is>
      </c>
      <c r="B4" s="2" t="inlineStr">
        <is>
          <t>เบาหวาน</t>
        </is>
      </c>
      <c r="C4" s="3">
        <f>IF(B4="ปกติ",0,IF(B4="เสี่ยงเบาหวาน",2,IF(B4="เบาหวาน",3,IF(B4="ต่ำกว่าปกติ",1,0))))</f>
        <v/>
      </c>
      <c r="D4" s="4" t="n">
        <v>1.4</v>
      </c>
      <c r="E4" s="4">
        <f>C4*D4</f>
        <v/>
      </c>
      <c r="G4" s="2" t="inlineStr">
        <is>
          <t>จำนวนระบบสำคัญที่ผิดปกติ</t>
        </is>
      </c>
      <c r="H4" s="3">
        <f>COUNTIF(C3:C7,"&gt;0")</f>
        <v/>
      </c>
    </row>
    <row r="5">
      <c r="A5" s="2" t="inlineStr">
        <is>
          <t>ไขมันในเลือด</t>
        </is>
      </c>
      <c r="B5" s="2" t="inlineStr">
        <is>
          <t>เฝ้าระวัง</t>
        </is>
      </c>
      <c r="C5" s="3">
        <f>IF(B5="ปกติ",0,IF(B5="เฝ้าระวัง",1,IF(B5="เสี่ยงต่อสุขภาพ",2,0)))</f>
        <v/>
      </c>
      <c r="D5" s="4" t="n">
        <v>1.1</v>
      </c>
      <c r="E5" s="4">
        <f>C5*D5</f>
        <v/>
      </c>
      <c r="G5" s="2" t="inlineStr">
        <is>
          <t>คำแนะนำ</t>
        </is>
      </c>
      <c r="H5" s="3">
        <f>IF(H3&gt;=3,"ควรพบแพทย์อย่างเร่งด่วน",IF(AND(H4&gt;=2,H2&gt;=4.5),"ควรพบแพทย์อย่างเร่งด่วน",IF(H4&gt;=2,"ควรพบแพทย์",IF(H2&gt;=6.5,"ควรพบแพทย์อย่างเร่งด่วน",IF(H2&gt;=3,"ควรพบแพทย์",IF(H2&gt;0,"ควรปรึกษาแพทย์","ปกติ"))))))</f>
        <v/>
      </c>
    </row>
    <row r="6" ht="60" customHeight="1">
      <c r="A6" s="2" t="inlineStr">
        <is>
          <t>การทำงานของไต</t>
        </is>
      </c>
      <c r="B6" s="2" t="inlineStr">
        <is>
          <t>ปกติ</t>
        </is>
      </c>
      <c r="C6" s="3">
        <f>IF(B6="ปกติ",0,IF(B6="ผิดปกติเล็กน้อย",1,IF(B6="ผิดปกติปานกลาง",2,IF(B6="ผิดปกติรุนแรง",3,IF(B6="สูงกว่าปกติ",1,IF(B6="ต่ำกว่าปกติ",1,0))))))</f>
        <v/>
      </c>
      <c r="D6" s="4" t="n">
        <v>1.3</v>
      </c>
      <c r="E6" s="4">
        <f>C6*D6</f>
        <v/>
      </c>
      <c r="G6" s="5" t="inlineStr">
        <is>
          <t>ข้อความคาดการณ์</t>
        </is>
      </c>
      <c r="H6" s="6">
        <f>IF(H3&gt;=3,"หากไม่เข้ารับการดูแลทันที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หรือการเสื่อมของอวัยวะสำคัญ",IF(AND(H4&gt;=2,H2&gt;=4.5),"หากไม่เข้ารับการดูแลทันที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หรือการเสื่อมของอวัยวะสำคัญ",IF(H4&gt;=2,"หากไม่ติดตามรักษาอย่างต่อเนื่อง มีโอกาสเพิ่มความเสี่ยงโรคเรื้อรังและภาวะแทรกซ้อนของระบบเมตาบอลิก",IF(H2&gt;=6.5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หรือการเสื่อมของอวัยวะสำคัญ",IF(H2&gt;=3,"หากไม่ติดตามรักษาอย่างต่อเนื่อง มีโอกาสเพิ่มความเสี่ยงโรคเรื้อรังและภาวะแทรกซ้อนของระบบเมตาบอลิก",IF(H2&gt;0,"หากไม่ปรับพฤติกรรมและติดตามผล อาจพัฒนาไปสู่ภาวะเสี่ยงโรคเรื้อรังในระยะถัดไป","ความเสี่ยงรวมอยู่ในระดับต่ำ หากดูแลสุขภาพต่อเนื่องตามปกติ"))))))</f>
        <v/>
      </c>
    </row>
    <row r="7">
      <c r="A7" s="2" t="inlineStr">
        <is>
          <t>การทำงานของตับ</t>
        </is>
      </c>
      <c r="B7" s="2" t="inlineStr">
        <is>
          <t>ปกติ</t>
        </is>
      </c>
      <c r="C7" s="3">
        <f>IF(B7="ปกติ",0,IF(B7="ผิดปกติเล็กน้อย",1,IF(B7="ผิดปกติปานกลาง",2,IF(B7="ผิดปกติรุนแรง",3,0))))</f>
        <v/>
      </c>
      <c r="D7" s="4" t="n">
        <v>1.2</v>
      </c>
      <c r="E7" s="4">
        <f>C7*D7</f>
        <v/>
      </c>
    </row>
    <row r="8">
      <c r="A8" s="2" t="inlineStr">
        <is>
          <t>กรดยูริกในเลือด</t>
        </is>
      </c>
      <c r="B8" s="2" t="inlineStr">
        <is>
          <t>สูงกว่าปกติ</t>
        </is>
      </c>
      <c r="C8" s="3">
        <f>IF(B8="ปกติ",0,IF(OR(B8="สูงกว่าปกติ",B8="ต่ำกว่าปกติ"),1,0))</f>
        <v/>
      </c>
      <c r="D8" s="4" t="n">
        <v>0.8</v>
      </c>
      <c r="E8" s="4">
        <f>C8*D8</f>
        <v/>
      </c>
      <c r="G8" t="inlineStr">
        <is>
          <t>เกณฑ์คะแนน</t>
        </is>
      </c>
    </row>
    <row r="9">
      <c r="G9" t="inlineStr">
        <is>
          <t>ปกติ = 0</t>
        </is>
      </c>
    </row>
    <row r="10">
      <c r="G10" t="inlineStr">
        <is>
          <t>เฝ้าระวัง/เล็กน้อย = 1</t>
        </is>
      </c>
    </row>
    <row r="11">
      <c r="G11" t="inlineStr">
        <is>
          <t>ปานกลาง = 2</t>
        </is>
      </c>
    </row>
    <row r="12">
      <c r="G12" t="inlineStr">
        <is>
          <t>รุนแรง =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2026-03-16T01:45:22Z</dcterms:created>
  <dcterms:modified xsi:type="dcterms:W3CDTF">2026-03-16T01:45:22Z</dcterms:modified>
</cp:coreProperties>
</file>