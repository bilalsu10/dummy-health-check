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l internship\health-site - Copy\"/>
    </mc:Choice>
  </mc:AlternateContent>
  <xr:revisionPtr revIDLastSave="0" documentId="13_ncr:1_{5FD03AE3-F47C-4886-A720-009CCB089670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Risk 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E8" i="1" s="1"/>
  <c r="C7" i="1"/>
  <c r="E7" i="1" s="1"/>
  <c r="C6" i="1"/>
  <c r="E6" i="1" s="1"/>
  <c r="C5" i="1"/>
  <c r="E5" i="1" s="1"/>
  <c r="H4" i="1"/>
  <c r="C4" i="1"/>
  <c r="E4" i="1" s="1"/>
  <c r="C3" i="1"/>
  <c r="E3" i="1" s="1"/>
  <c r="C2" i="1"/>
  <c r="E2" i="1" s="1"/>
  <c r="H2" i="1" l="1"/>
  <c r="H3" i="1"/>
  <c r="H6" i="1" l="1"/>
  <c r="H5" i="1"/>
</calcChain>
</file>

<file path=xl/sharedStrings.xml><?xml version="1.0" encoding="utf-8"?>
<sst xmlns="http://schemas.openxmlformats.org/spreadsheetml/2006/main" count="31" uniqueCount="30">
  <si>
    <t>ปัจจัย</t>
  </si>
  <si>
    <t>ผลตรวจ</t>
  </si>
  <si>
    <t>คะแนนความรุนแรง</t>
  </si>
  <si>
    <t>ค่าน้ำหนัก</t>
  </si>
  <si>
    <t>คะแนนถ่วงน้ำหนัก</t>
  </si>
  <si>
    <t>รายการสรุป</t>
  </si>
  <si>
    <t>ค่า</t>
  </si>
  <si>
    <t>ดัชนีมวลกาย (BMI)</t>
  </si>
  <si>
    <t>อ้วน</t>
  </si>
  <si>
    <t>คะแนนรวมถ่วงน้ำหนัก</t>
  </si>
  <si>
    <t>ความดันโลหิต</t>
  </si>
  <si>
    <t>ความดันสูง</t>
  </si>
  <si>
    <t>คะแนนความรุนแรงสูงสุด</t>
  </si>
  <si>
    <t>ระดับน้ำตาลในเลือด</t>
  </si>
  <si>
    <t>เบาหวาน</t>
  </si>
  <si>
    <t>จำนวนระบบสำคัญที่ผิดปกติ</t>
  </si>
  <si>
    <t>ไขมันในเลือด</t>
  </si>
  <si>
    <t>เฝ้าระวัง</t>
  </si>
  <si>
    <t>คำแนะนำ</t>
  </si>
  <si>
    <t>การทำงานของไต</t>
  </si>
  <si>
    <t>ปกติ</t>
  </si>
  <si>
    <t>ข้อความคาดการณ์</t>
  </si>
  <si>
    <t>การทำงานของตับ</t>
  </si>
  <si>
    <t>กรดยูริกในเลือด</t>
  </si>
  <si>
    <t>สูงกว่าปกติ</t>
  </si>
  <si>
    <t>เกณฑ์คะแนน</t>
  </si>
  <si>
    <t>ปกติ = 0</t>
  </si>
  <si>
    <t>เฝ้าระวัง/เล็กน้อย = 1</t>
  </si>
  <si>
    <t>ปานกลาง = 2</t>
  </si>
  <si>
    <t>รุนแรง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</si>
</sst>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28" customWidth="1"/>
    <col min="2" max="2" width="22" customWidth="1"/>
    <col min="3" max="3" width="18" customWidth="1"/>
    <col min="4" max="4" width="12" customWidth="1"/>
    <col min="5" max="5" width="16" customWidth="1"/>
    <col min="7" max="7" width="28" customWidth="1"/>
    <col min="8" max="8" width="9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8</v>
      </c>
      <c r="C2" s="3">
        <f>IF(B2="ปกติ",0,IF(OR(B2="น้ำหนักเกิน",B2="ผอม"),1,IF(B2="อ้วน",2,IF(B2="อ้วนอันตราย",3,0))))</f>
        <v>2</v>
      </c>
      <c r="D2" s="4">
        <v>1</v>
      </c>
      <c r="E2" s="4">
        <f t="shared" ref="E2:E8" si="0">C2*D2</f>
        <v>2</v>
      </c>
      <c r="G2" s="2" t="s">
        <v>9</v>
      </c>
      <c r="H2" s="4">
        <f>SUM(E2:E8)</f>
        <v>10.7</v>
      </c>
    </row>
    <row r="3" spans="1:8" x14ac:dyDescent="0.25">
      <c r="A3" s="2" t="s">
        <v>10</v>
      </c>
      <c r="B3" s="2" t="s">
        <v>11</v>
      </c>
      <c r="C3" s="3">
        <f>IF(B3="ปกติ",0,IF(B3="ความดันต่ำ",1,IF(B3="ความดันสูง",2,0)))</f>
        <v>2</v>
      </c>
      <c r="D3" s="4">
        <v>1.3</v>
      </c>
      <c r="E3" s="4">
        <f t="shared" si="0"/>
        <v>2.6</v>
      </c>
      <c r="G3" s="2" t="s">
        <v>12</v>
      </c>
      <c r="H3" s="3">
        <f>MAX(C2:C8)</f>
        <v>3</v>
      </c>
    </row>
    <row r="4" spans="1:8" x14ac:dyDescent="0.25">
      <c r="A4" s="2" t="s">
        <v>13</v>
      </c>
      <c r="B4" s="2" t="s">
        <v>14</v>
      </c>
      <c r="C4" s="3">
        <f>IF(B4="ปกติ",0,IF(B4="เสี่ยงเบาหวาน",2,IF(B4="เบาหวาน",3,IF(B4="ต่ำกว่าปกติ",1,0))))</f>
        <v>3</v>
      </c>
      <c r="D4" s="4">
        <v>1.4</v>
      </c>
      <c r="E4" s="4">
        <f t="shared" si="0"/>
        <v>4.1999999999999993</v>
      </c>
      <c r="G4" s="2" t="s">
        <v>15</v>
      </c>
      <c r="H4" s="3">
        <f>COUNTIF(C3:C7,"&gt;0")</f>
        <v>3</v>
      </c>
    </row>
    <row r="5" spans="1:8" x14ac:dyDescent="0.25">
      <c r="A5" s="2" t="s">
        <v>16</v>
      </c>
      <c r="B5" s="2" t="s">
        <v>17</v>
      </c>
      <c r="C5" s="3">
        <f>IF(B5="ปกติ",0,IF(B5="เฝ้าระวัง",1,IF(B5="เสี่ยงต่อสุขภาพ",2,0)))</f>
        <v>1</v>
      </c>
      <c r="D5" s="4">
        <v>1.1000000000000001</v>
      </c>
      <c r="E5" s="4">
        <f t="shared" si="0"/>
        <v>1.1000000000000001</v>
      </c>
      <c r="G5" s="2" t="s">
        <v>18</v>
      </c>
      <c r="H5" s="3" t="str">
        <f>IF(H3&gt;=3,"ควรพบแพทย์อย่างเร่งด่วน",IF(AND(H4&gt;=2,H2&gt;=4.5),"ควรพบแพทย์อย่างเร่งด่วน",IF(H4&gt;=2,"ควรพบแพทย์",IF(H2&gt;=6.5,"ควรพบแพทย์อย่างเร่งด่วน",IF(H2&gt;=3,"ควรพบแพทย์",IF(H2&gt;0,"ควรปรึกษาแพทย์","ปกติ"))))))</f>
        <v>ควรพบแพทย์อย่างเร่งด่วน</v>
      </c>
    </row>
    <row r="6" spans="1:8" ht="72" customHeight="1" x14ac:dyDescent="0.25">
      <c r="A6" s="2" t="s">
        <v>19</v>
      </c>
      <c r="B6" s="2" t="s">
        <v>20</v>
      </c>
      <c r="C6" s="3">
        <f>IF(B6="ปกติ",0,IF(B6="ผิดปกติเล็กน้อย",1,IF(B6="ผิดปกติปานกลาง",2,IF(B6="ผิดปกติรุนแรง",3,IF(B6="สูงกว่าปกติ",1,IF(B6="ต่ำกว่าปกติ",1,0))))))</f>
        <v>0</v>
      </c>
      <c r="D6" s="4">
        <v>1.3</v>
      </c>
      <c r="E6" s="4">
        <f t="shared" si="0"/>
        <v>0</v>
      </c>
      <c r="G6" s="5" t="s">
        <v>21</v>
      </c>
      <c r="H6" s="6" t="str">
        <f>IF(H3&gt;=3,"หากไม่เข้ารับการดูแลทันที อาจเกิดภาวะแทรกซ้อนรุนแรง เช่น โรคหัวใจ หลอดเลือด หรือการเสื่อมของอวัยวะสำคัญ",IF(AND(H4&gt;=2,H2&gt;=4.5),"หากไม่เข้ารับการดูแลทันที อาจเกิดภาวะแทรกซ้อนรุนแรง เช่น โรคหัวใจ หลอดเลือด หรือการเสื่อมของอวัยวะสำคัญ",IF(H4&gt;=2,"หากไม่ติดตามรักษาอย่างต่อเนื่อง มีโอกาสเพิ่มความเสี่ยงโรคเรื้อรังและภาวะแทรกซ้อนของระบบเมตาบอลิก",IF(H2&gt;=6.5,"หากไม่เข้ารับการดูแลทันที อาจเกิดภาวะแทรกซ้อนรุนแรง เช่น โรคหัวใจ หลอดเลือด หรือการเสื่อมของอวัยวะสำคัญ",IF(H2&gt;=3,"หากไม่ติดตามรักษาอย่างต่อเนื่อง มีโอกาสเพิ่มความเสี่ยงโรคเรื้อรังและภาวะแทรกซ้อนของระบบเมตาบอลิก",IF(H2&gt;0,"หากไม่ปรับพฤติกรรมและติดตามผล อาจพัฒนาไปสู่ภาวะเสี่ยงโรคเรื้อรังในระยะถัดไป","ความเสี่ยงรวมอยู่ในระดับต่ำ หากดูแลสุขภาพต่อเนื่องตามปกติ"))))))</f>
        <v>หากไม่เข้ารับการดูแลทันที อาจเกิดภาวะแทรกซ้อนรุนแรง เช่น โรคหัวใจ หลอดเลือด หรือการเสื่อมของอวัยวะสำคัญ</v>
      </c>
    </row>
    <row r="7" spans="1:8" x14ac:dyDescent="0.25">
      <c r="A7" s="2" t="s">
        <v>22</v>
      </c>
      <c r="B7" s="2" t="s">
        <v>20</v>
      </c>
      <c r="C7" s="3">
        <f>IF(B7="ปกติ",0,IF(B7="ผิดปกติเล็กน้อย",1,IF(B7="ผิดปกติปานกลาง",2,IF(B7="ผิดปกติรุนแรง",3,0))))</f>
        <v>0</v>
      </c>
      <c r="D7" s="4">
        <v>1.2</v>
      </c>
      <c r="E7" s="4">
        <f t="shared" si="0"/>
        <v>0</v>
      </c>
    </row>
    <row r="8" spans="1:8" x14ac:dyDescent="0.25">
      <c r="A8" s="2" t="s">
        <v>23</v>
      </c>
      <c r="B8" s="2" t="s">
        <v>24</v>
      </c>
      <c r="C8" s="3">
        <f>IF(B8="ปกติ",0,IF(OR(B8="สูงกว่าปกติ",B8="ต่ำกว่าปกติ"),1,0))</f>
        <v>1</v>
      </c>
      <c r="D8" s="4">
        <v>0.8</v>
      </c>
      <c r="E8" s="4">
        <f t="shared" si="0"/>
        <v>0.8</v>
      </c>
      <c r="G8" t="s">
        <v>25</v>
      </c>
    </row>
    <row r="9" spans="1:8" x14ac:dyDescent="0.25">
      <c r="G9" t="s">
        <v>26</v>
      </c>
    </row>
    <row r="10" spans="1:8" x14ac:dyDescent="0.25">
      <c r="G10" t="s">
        <v>27</v>
      </c>
    </row>
    <row r="11" spans="1:8" x14ac:dyDescent="0.25">
      <c r="G11" t="s">
        <v>28</v>
      </c>
    </row>
    <row r="12" spans="1:8" x14ac:dyDescent="0.25">
      <c r="G12" t="s">
        <v>29</v>
      </c>
    </row>
    <row r="14" spans="1:8" ht="26.1" customHeight="1" x14ac:dyDescent="0.25">
      <c r="A14" s="7"/>
    </row>
    <row r="15" spans="1:8" ht="21.95" customHeight="1" x14ac:dyDescent="0.25">
      <c r="A15" s="7"/>
    </row>
    <row r="16" spans="1:8" ht="21.95" customHeight="1" x14ac:dyDescent="0.25">
      <c r="A16" s="7"/>
    </row>
    <row r="17" spans="1:1" ht="21.95" customHeight="1" x14ac:dyDescent="0.25">
      <c r="A17" s="7"/>
    </row>
    <row r="18" spans="1:1" ht="24" customHeight="1" x14ac:dyDescent="0.25">
      <c r="A18" s="7"/>
    </row>
    <row r="19" spans="1:1" ht="24" customHeight="1" x14ac:dyDescent="0.25">
      <c r="A19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Aunchiththa Saengthong</cp:lastModifiedBy>
  <dcterms:created xsi:type="dcterms:W3CDTF">2026-03-16T01:56:43Z</dcterms:created>
  <dcterms:modified xsi:type="dcterms:W3CDTF">2026-03-16T02:47:38Z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2026-03-16T02:47:38Z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92fdd786-067c-481f-bdf8-82063fe3a97e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10, 3, 0, 1</vt:lpwstr>
  </property>
</Properties>
</file>